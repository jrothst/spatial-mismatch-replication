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-local/Dropbox/projects/Maria boatlift/puerto rico/BW/AER-PP-2024/replication/external/code/"/>
    </mc:Choice>
  </mc:AlternateContent>
  <xr:revisionPtr revIDLastSave="0" documentId="13_ncr:1_{43B0BF33-D5B5-6C4B-8496-9A1C49F66033}" xr6:coauthVersionLast="47" xr6:coauthVersionMax="47" xr10:uidLastSave="{00000000-0000-0000-0000-000000000000}"/>
  <bookViews>
    <workbookView xWindow="3540" yWindow="3940" windowWidth="23060" windowHeight="14920" xr2:uid="{5F50D70B-DD8C-C944-8990-033400CD4D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F6" i="1"/>
  <c r="F9" i="1" s="1"/>
  <c r="E6" i="1"/>
  <c r="E9" i="1" s="1"/>
  <c r="F5" i="1"/>
  <c r="E5" i="1"/>
  <c r="F4" i="1"/>
  <c r="E4" i="1"/>
</calcChain>
</file>

<file path=xl/sharedStrings.xml><?xml version="1.0" encoding="utf-8"?>
<sst xmlns="http://schemas.openxmlformats.org/spreadsheetml/2006/main" count="9" uniqueCount="9">
  <si>
    <t>White</t>
  </si>
  <si>
    <t>Black</t>
  </si>
  <si>
    <t>Log earnings gap</t>
  </si>
  <si>
    <t>Older industrial CZs</t>
  </si>
  <si>
    <t>Newer sunbelt CZs</t>
  </si>
  <si>
    <t>Person effects</t>
  </si>
  <si>
    <t>Establishment effects</t>
  </si>
  <si>
    <t>Geometric mean earnings (quarterly, nominal dollars)</t>
  </si>
  <si>
    <t>Share of gap attributable to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</si>
</sst>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1" applyNumberFormat="1" applyFont="1"/>
    <xf numFmtId="164" fontId="0" fillId="0" borderId="0" xfId="1" applyNumberFormat="1" applyFont="1"/>
    <xf numFmtId="4" fontId="0" fillId="0" borderId="0" xfId="1" applyNumberFormat="1" applyFont="1"/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sse-local/Dropbox/projects/Maria%20boatlift/puerto%20rico/BW/AER-PP-2024/replication/external/disclosed/Yi_tabs_T13T26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</sheetNames>
    <sheetDataSet>
      <sheetData sheetId="0">
        <row r="5">
          <cell r="D5">
            <v>9.5660000000000025</v>
          </cell>
          <cell r="E5">
            <v>9.2170000000000023</v>
          </cell>
          <cell r="F5">
            <v>0.34950000000000009</v>
          </cell>
          <cell r="H5">
            <v>-2.9100000000000011E-3</v>
          </cell>
          <cell r="J5">
            <v>0.36730000000000013</v>
          </cell>
        </row>
        <row r="6">
          <cell r="D6">
            <v>9.6700000000000017</v>
          </cell>
          <cell r="E6">
            <v>9.3050000000000015</v>
          </cell>
          <cell r="F6">
            <v>0.36470000000000014</v>
          </cell>
          <cell r="H6">
            <v>4.2950000000000019E-3</v>
          </cell>
          <cell r="J6">
            <v>0.37970000000000015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FEC9-D488-8A42-9410-9C422B422734}">
  <dimension ref="C2:F9"/>
  <sheetViews>
    <sheetView tabSelected="1" topLeftCell="A2" workbookViewId="0">
      <selection activeCell="F6" sqref="F6"/>
    </sheetView>
  </sheetViews>
  <sheetFormatPr baseColWidth="10" defaultRowHeight="16" x14ac:dyDescent="0.2"/>
  <cols>
    <col min="3" max="3" width="2.83203125" customWidth="1"/>
    <col min="4" max="4" width="19.6640625" customWidth="1"/>
    <col min="5" max="5" width="11.5" bestFit="1" customWidth="1"/>
  </cols>
  <sheetData>
    <row r="2" spans="3:6" ht="51" x14ac:dyDescent="0.2">
      <c r="E2" s="4" t="s">
        <v>3</v>
      </c>
      <c r="F2" s="4" t="s">
        <v>4</v>
      </c>
    </row>
    <row r="3" spans="3:6" x14ac:dyDescent="0.2">
      <c r="C3" t="s">
        <v>7</v>
      </c>
    </row>
    <row r="4" spans="3:6" x14ac:dyDescent="0.2">
      <c r="D4" t="s">
        <v>0</v>
      </c>
      <c r="E4" s="1">
        <f>EXP('[1]1'!D5)</f>
        <v>14271.217133484181</v>
      </c>
      <c r="F4" s="1">
        <f>EXP('[1]1'!D6)</f>
        <v>15835.34902351309</v>
      </c>
    </row>
    <row r="5" spans="3:6" x14ac:dyDescent="0.2">
      <c r="D5" t="s">
        <v>1</v>
      </c>
      <c r="E5" s="1">
        <f>EXP('[1]1'!E5)</f>
        <v>10066.818526550611</v>
      </c>
      <c r="F5" s="1">
        <f>EXP('[1]1'!E6)</f>
        <v>10992.846257606658</v>
      </c>
    </row>
    <row r="6" spans="3:6" x14ac:dyDescent="0.2">
      <c r="C6" t="s">
        <v>2</v>
      </c>
      <c r="E6" s="3">
        <f>('[1]1'!F5)</f>
        <v>0.34950000000000009</v>
      </c>
      <c r="F6" s="3">
        <f>('[1]1'!F6)</f>
        <v>0.36470000000000014</v>
      </c>
    </row>
    <row r="7" spans="3:6" x14ac:dyDescent="0.2">
      <c r="C7" t="s">
        <v>8</v>
      </c>
    </row>
    <row r="8" spans="3:6" x14ac:dyDescent="0.2">
      <c r="D8" t="s">
        <v>5</v>
      </c>
      <c r="E8" s="2">
        <f>100*('[1]1'!J5)/E$6</f>
        <v>105.09298998569385</v>
      </c>
      <c r="F8" s="2">
        <f>100*('[1]1'!J6)/F$6</f>
        <v>104.11296956402522</v>
      </c>
    </row>
    <row r="9" spans="3:6" x14ac:dyDescent="0.2">
      <c r="D9" t="s">
        <v>6</v>
      </c>
      <c r="E9" s="2">
        <f>100*('[1]1'!H5)/E$6</f>
        <v>-0.83261802575107302</v>
      </c>
      <c r="F9" s="2">
        <f>100*('[1]1'!H6)/F$6</f>
        <v>1.1776802851658899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Rothstein</dc:creator>
  <cp:lastModifiedBy>Jesse Rothstein</cp:lastModifiedBy>
  <dcterms:created xsi:type="dcterms:W3CDTF">2023-12-04T18:34:41Z</dcterms:created>
  <dcterms:modified xsi:type="dcterms:W3CDTF">2024-04-16T15:16:59Z</dcterms:modified>
</cp:coreProperties>
</file>