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-local/Dropbox/projects/Maria boatlift/puerto rico/BW/AER-PP-2024/replication/external/code/"/>
    </mc:Choice>
  </mc:AlternateContent>
  <xr:revisionPtr revIDLastSave="0" documentId="13_ncr:1_{3AA2A7F6-32CB-5040-A940-5A7B6B5F4F03}" xr6:coauthVersionLast="47" xr6:coauthVersionMax="47" xr10:uidLastSave="{00000000-0000-0000-0000-000000000000}"/>
  <bookViews>
    <workbookView xWindow="10760" yWindow="2320" windowWidth="19480" windowHeight="16280" xr2:uid="{4C4DF7A1-A1D5-B64F-A3B6-03BCFA154052}"/>
  </bookViews>
  <sheets>
    <sheet name="tab A-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E16" i="1"/>
  <c r="G12" i="1"/>
  <c r="F12" i="1"/>
  <c r="E12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19" i="1"/>
  <c r="F19" i="1"/>
  <c r="E19" i="1"/>
  <c r="G17" i="1"/>
  <c r="F17" i="1"/>
  <c r="E17" i="1"/>
  <c r="G15" i="1"/>
  <c r="F15" i="1"/>
  <c r="E15" i="1"/>
  <c r="G13" i="1"/>
  <c r="F13" i="1"/>
  <c r="E13" i="1"/>
  <c r="G11" i="1"/>
  <c r="F11" i="1"/>
  <c r="E11" i="1"/>
  <c r="G9" i="1"/>
  <c r="F9" i="1"/>
  <c r="E9" i="1"/>
  <c r="G8" i="1"/>
  <c r="F8" i="1"/>
  <c r="E8" i="1"/>
  <c r="G7" i="1"/>
  <c r="F7" i="1"/>
  <c r="E7" i="1"/>
</calcChain>
</file>

<file path=xl/sharedStrings.xml><?xml version="1.0" encoding="utf-8"?>
<sst xmlns="http://schemas.openxmlformats.org/spreadsheetml/2006/main" count="25" uniqueCount="22">
  <si>
    <t>Table A-1. LEHD summary statistics and AKM decomposition</t>
  </si>
  <si>
    <t>Older industrial CZs</t>
  </si>
  <si>
    <t>Newer sunbelt CZs</t>
  </si>
  <si>
    <t>All other CZs among largest 200</t>
  </si>
  <si>
    <t>White workers</t>
  </si>
  <si>
    <t>Geometric mean earnings</t>
  </si>
  <si>
    <t>SD of log earnings</t>
  </si>
  <si>
    <t>All workers</t>
  </si>
  <si>
    <t>Components of AKM decomposition</t>
  </si>
  <si>
    <t>Black workers</t>
  </si>
  <si>
    <t>White-Black gap</t>
  </si>
  <si>
    <t>N (person-quarters)</t>
  </si>
  <si>
    <t>Person effect</t>
  </si>
  <si>
    <t>Firm effect</t>
  </si>
  <si>
    <t>Xb</t>
  </si>
  <si>
    <t>No. of person-quarters (millions)</t>
  </si>
  <si>
    <t>Log earnings</t>
  </si>
  <si>
    <t>Note: Multiplied by the number of CZs as averages per CZ were disclosed.</t>
  </si>
  <si>
    <t>Mean commute distance</t>
  </si>
  <si>
    <t>Mean earnings</t>
  </si>
  <si>
    <t>Industry effect</t>
  </si>
  <si>
    <t>Within-industry firm hierarchy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</si>
</sst>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esse-local/Dropbox/projects/Maria%20boatlift/puerto%20rico/BW/AER-PP-2024/replication/external/disclosed/Yi_tabs_T13T26_1.xlsx" TargetMode="External"/><Relationship Id="rId1" Type="http://schemas.openxmlformats.org/officeDocument/2006/relationships/externalLinkPath" Target="/Users/jesse-local/Dropbox/projects/Maria%20boatlift/puerto%20rico/BW/AER-PP-2024/replication/external/disclosed/Yi_tabs_T13T26_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esse-local/Dropbox/projects/Maria%20boatlift/puerto%20rico/BW/AER-PP-2024/replication/external/disclosed/Yi_tabs_T13T26_2.xlsx" TargetMode="External"/><Relationship Id="rId1" Type="http://schemas.openxmlformats.org/officeDocument/2006/relationships/externalLinkPath" Target="/Users/jesse-local/Dropbox/projects/Maria%20boatlift/puerto%20rico/BW/AER-PP-2024/replication/external/disclosed/Yi_tabs_T13T26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</sheetNames>
    <sheetDataSet>
      <sheetData sheetId="0">
        <row r="5">
          <cell r="B5">
            <v>9.5120000000000022</v>
          </cell>
          <cell r="C5">
            <v>0.64100000000000024</v>
          </cell>
          <cell r="D5">
            <v>9.5660000000000025</v>
          </cell>
          <cell r="E5">
            <v>9.2170000000000023</v>
          </cell>
          <cell r="F5">
            <v>0.34950000000000009</v>
          </cell>
          <cell r="G5">
            <v>1.6290000000000006E-2</v>
          </cell>
          <cell r="H5">
            <v>-2.9100000000000011E-3</v>
          </cell>
          <cell r="I5">
            <v>-1.9200000000000009E-2</v>
          </cell>
          <cell r="J5">
            <v>0.36730000000000013</v>
          </cell>
          <cell r="K5">
            <v>-1.4920000000000006E-2</v>
          </cell>
          <cell r="O5">
            <v>31140000</v>
          </cell>
          <cell r="P5">
            <v>26210000</v>
          </cell>
          <cell r="Q5">
            <v>4924000</v>
          </cell>
        </row>
        <row r="6">
          <cell r="B6">
            <v>9.5790000000000024</v>
          </cell>
          <cell r="C6">
            <v>0.68780000000000019</v>
          </cell>
          <cell r="D6">
            <v>9.6700000000000017</v>
          </cell>
          <cell r="E6">
            <v>9.3050000000000015</v>
          </cell>
          <cell r="F6">
            <v>0.36470000000000014</v>
          </cell>
          <cell r="G6">
            <v>1.1000000000000005E-2</v>
          </cell>
          <cell r="H6">
            <v>4.2950000000000019E-3</v>
          </cell>
          <cell r="I6">
            <v>-6.7050000000000026E-3</v>
          </cell>
          <cell r="J6">
            <v>0.37970000000000015</v>
          </cell>
          <cell r="K6">
            <v>-1.9220000000000008E-2</v>
          </cell>
          <cell r="O6">
            <v>29010000</v>
          </cell>
          <cell r="P6">
            <v>22370000</v>
          </cell>
          <cell r="Q6">
            <v>6648000</v>
          </cell>
        </row>
        <row r="7">
          <cell r="B7">
            <v>9.365000000000002</v>
          </cell>
          <cell r="C7">
            <v>0.58110000000000017</v>
          </cell>
          <cell r="D7">
            <v>9.3980000000000015</v>
          </cell>
          <cell r="E7">
            <v>9.1480000000000015</v>
          </cell>
          <cell r="F7">
            <v>0.2506000000000001</v>
          </cell>
          <cell r="G7">
            <v>8.6920000000000042E-4</v>
          </cell>
          <cell r="H7">
            <v>-1.2750000000000006E-2</v>
          </cell>
          <cell r="I7">
            <v>-1.3620000000000005E-2</v>
          </cell>
          <cell r="J7">
            <v>0.27820000000000011</v>
          </cell>
          <cell r="K7">
            <v>-1.4880000000000006E-2</v>
          </cell>
          <cell r="O7">
            <v>5885000</v>
          </cell>
          <cell r="P7">
            <v>5091000</v>
          </cell>
          <cell r="Q7">
            <v>794000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</sheetNames>
    <sheetDataSet>
      <sheetData sheetId="0">
        <row r="4">
          <cell r="G4">
            <v>12.220000000000002</v>
          </cell>
        </row>
        <row r="5">
          <cell r="G5">
            <v>10.470000000000002</v>
          </cell>
        </row>
        <row r="6">
          <cell r="G6">
            <v>14.370000000000003</v>
          </cell>
        </row>
        <row r="7">
          <cell r="G7">
            <v>14.220000000000002</v>
          </cell>
        </row>
        <row r="8">
          <cell r="G8">
            <v>10.430000000000001</v>
          </cell>
        </row>
        <row r="9">
          <cell r="G9">
            <v>9.4720000000000031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03EB-B000-AF49-B6DA-80348EFC407F}">
  <dimension ref="B3:I25"/>
  <sheetViews>
    <sheetView tabSelected="1" workbookViewId="0">
      <selection activeCell="F26" sqref="F26"/>
    </sheetView>
  </sheetViews>
  <sheetFormatPr baseColWidth="10" defaultRowHeight="16" x14ac:dyDescent="0.2"/>
  <cols>
    <col min="2" max="2" width="0.83203125" customWidth="1"/>
    <col min="3" max="3" width="2.83203125" customWidth="1"/>
    <col min="4" max="4" width="29.1640625" customWidth="1"/>
    <col min="5" max="5" width="10.1640625" customWidth="1"/>
    <col min="6" max="6" width="8.6640625" customWidth="1"/>
    <col min="7" max="7" width="13.33203125" customWidth="1"/>
  </cols>
  <sheetData>
    <row r="3" spans="2:9" x14ac:dyDescent="0.2">
      <c r="B3" t="s">
        <v>0</v>
      </c>
    </row>
    <row r="5" spans="2:9" ht="49" customHeight="1" x14ac:dyDescent="0.2">
      <c r="E5" s="5" t="s">
        <v>1</v>
      </c>
      <c r="F5" s="5" t="s">
        <v>2</v>
      </c>
      <c r="G5" s="5" t="s">
        <v>3</v>
      </c>
    </row>
    <row r="6" spans="2:9" x14ac:dyDescent="0.2">
      <c r="B6" t="s">
        <v>7</v>
      </c>
      <c r="E6" s="6"/>
      <c r="F6" s="6"/>
      <c r="G6" s="6"/>
    </row>
    <row r="7" spans="2:9" x14ac:dyDescent="0.2">
      <c r="C7" t="s">
        <v>19</v>
      </c>
      <c r="E7" s="7">
        <f>EXP('[1]1'!B5)</f>
        <v>13521.00931112147</v>
      </c>
      <c r="F7" s="7">
        <f>EXP('[1]1'!B6)</f>
        <v>14457.954116738856</v>
      </c>
      <c r="G7" s="7">
        <f>EXP('[1]1'!B7)</f>
        <v>11672.605906881139</v>
      </c>
    </row>
    <row r="8" spans="2:9" x14ac:dyDescent="0.2">
      <c r="C8" t="s">
        <v>6</v>
      </c>
      <c r="E8" s="8">
        <f>'[1]1'!C5</f>
        <v>0.64100000000000024</v>
      </c>
      <c r="F8" s="8">
        <f>'[1]1'!C6</f>
        <v>0.68780000000000019</v>
      </c>
      <c r="G8" s="8">
        <f>'[1]1'!C7</f>
        <v>0.58110000000000017</v>
      </c>
      <c r="H8" s="3"/>
    </row>
    <row r="9" spans="2:9" x14ac:dyDescent="0.2">
      <c r="C9" t="s">
        <v>15</v>
      </c>
      <c r="E9" s="9">
        <f>'[1]1'!O5*10/1000000</f>
        <v>311.39999999999998</v>
      </c>
      <c r="F9" s="9">
        <f>'[1]1'!O6*7/1000000</f>
        <v>203.07</v>
      </c>
      <c r="G9" s="9">
        <f>'[1]1'!O7*(200-10-7)/1000000</f>
        <v>1076.9549999999999</v>
      </c>
      <c r="H9" s="1"/>
      <c r="I9" t="s">
        <v>17</v>
      </c>
    </row>
    <row r="10" spans="2:9" x14ac:dyDescent="0.2">
      <c r="B10" t="s">
        <v>4</v>
      </c>
      <c r="E10" s="6"/>
      <c r="F10" s="6"/>
      <c r="G10" s="6"/>
    </row>
    <row r="11" spans="2:9" x14ac:dyDescent="0.2">
      <c r="C11" t="s">
        <v>5</v>
      </c>
      <c r="E11" s="7">
        <f>EXP('[1]1'!D5)</f>
        <v>14271.217133484181</v>
      </c>
      <c r="F11" s="7">
        <f>EXP('[1]1'!D6)</f>
        <v>15835.34902351309</v>
      </c>
      <c r="G11" s="7">
        <f>EXP('[1]1'!D7)</f>
        <v>12064.228129408244</v>
      </c>
    </row>
    <row r="12" spans="2:9" x14ac:dyDescent="0.2">
      <c r="C12" t="s">
        <v>18</v>
      </c>
      <c r="E12" s="6">
        <f>'[2]1'!$G$4</f>
        <v>12.220000000000002</v>
      </c>
      <c r="F12" s="6">
        <f>'[2]1'!$G$6</f>
        <v>14.370000000000003</v>
      </c>
      <c r="G12" s="6">
        <f>'[2]1'!$G$8</f>
        <v>10.430000000000001</v>
      </c>
      <c r="H12" s="3"/>
    </row>
    <row r="13" spans="2:9" x14ac:dyDescent="0.2">
      <c r="C13" t="s">
        <v>11</v>
      </c>
      <c r="E13" s="9">
        <f>'[1]1'!P5*10/1000000</f>
        <v>262.10000000000002</v>
      </c>
      <c r="F13" s="9">
        <f>'[1]1'!P6*7/1000000</f>
        <v>156.59</v>
      </c>
      <c r="G13" s="9">
        <f>'[1]1'!P7*(200-10-7)/1000000</f>
        <v>931.65300000000002</v>
      </c>
      <c r="H13" s="2"/>
    </row>
    <row r="14" spans="2:9" x14ac:dyDescent="0.2">
      <c r="B14" t="s">
        <v>9</v>
      </c>
      <c r="E14" s="6"/>
      <c r="F14" s="6"/>
      <c r="G14" s="6"/>
    </row>
    <row r="15" spans="2:9" x14ac:dyDescent="0.2">
      <c r="C15" t="s">
        <v>5</v>
      </c>
      <c r="E15" s="7">
        <f>EXP('[1]1'!E5)</f>
        <v>10066.818526550611</v>
      </c>
      <c r="F15" s="7">
        <f>EXP('[1]1'!E6)</f>
        <v>10992.846257606658</v>
      </c>
      <c r="G15" s="7">
        <f>EXP('[1]1'!E7)</f>
        <v>9395.6303143352106</v>
      </c>
    </row>
    <row r="16" spans="2:9" x14ac:dyDescent="0.2">
      <c r="C16" t="s">
        <v>18</v>
      </c>
      <c r="E16" s="6">
        <f>'[2]1'!$G$5</f>
        <v>10.470000000000002</v>
      </c>
      <c r="F16" s="6">
        <f>'[2]1'!$G$7</f>
        <v>14.220000000000002</v>
      </c>
      <c r="G16" s="6">
        <f>'[2]1'!$G$9</f>
        <v>9.4720000000000031</v>
      </c>
      <c r="H16" s="3"/>
    </row>
    <row r="17" spans="2:8" x14ac:dyDescent="0.2">
      <c r="C17" t="s">
        <v>11</v>
      </c>
      <c r="E17" s="9">
        <f>'[1]1'!Q5*10/1000000</f>
        <v>49.24</v>
      </c>
      <c r="F17" s="9">
        <f>'[1]1'!Q6*7/1000000</f>
        <v>46.536000000000001</v>
      </c>
      <c r="G17" s="9">
        <f>'[1]1'!Q7*(200-10-7)/1000000</f>
        <v>145.30199999999999</v>
      </c>
      <c r="H17" s="2"/>
    </row>
    <row r="18" spans="2:8" x14ac:dyDescent="0.2">
      <c r="B18" t="s">
        <v>10</v>
      </c>
      <c r="E18" s="6"/>
      <c r="F18" s="6"/>
      <c r="G18" s="6"/>
    </row>
    <row r="19" spans="2:8" x14ac:dyDescent="0.2">
      <c r="C19" t="s">
        <v>16</v>
      </c>
      <c r="E19" s="8">
        <f>'[1]1'!F5</f>
        <v>0.34950000000000009</v>
      </c>
      <c r="F19" s="8">
        <f>'[1]1'!F6</f>
        <v>0.36470000000000014</v>
      </c>
      <c r="G19" s="8">
        <f>'[1]1'!F7</f>
        <v>0.2506000000000001</v>
      </c>
    </row>
    <row r="20" spans="2:8" x14ac:dyDescent="0.2">
      <c r="C20" t="s">
        <v>8</v>
      </c>
      <c r="E20" s="6"/>
      <c r="F20" s="6"/>
      <c r="G20" s="6"/>
      <c r="H20" s="1"/>
    </row>
    <row r="21" spans="2:8" x14ac:dyDescent="0.2">
      <c r="D21" t="s">
        <v>12</v>
      </c>
      <c r="E21" s="8">
        <f>'[1]1'!J5</f>
        <v>0.36730000000000013</v>
      </c>
      <c r="F21" s="8">
        <f>'[1]1'!J6</f>
        <v>0.37970000000000015</v>
      </c>
      <c r="G21" s="8">
        <f>'[1]1'!J7</f>
        <v>0.27820000000000011</v>
      </c>
    </row>
    <row r="22" spans="2:8" x14ac:dyDescent="0.2">
      <c r="D22" t="s">
        <v>13</v>
      </c>
      <c r="E22" s="8">
        <f>'[1]1'!H5</f>
        <v>-2.9100000000000011E-3</v>
      </c>
      <c r="F22" s="8">
        <f>'[1]1'!H6</f>
        <v>4.2950000000000019E-3</v>
      </c>
      <c r="G22" s="8">
        <f>'[1]1'!H7</f>
        <v>-1.2750000000000006E-2</v>
      </c>
      <c r="H22" s="1"/>
    </row>
    <row r="23" spans="2:8" x14ac:dyDescent="0.2">
      <c r="D23" t="s">
        <v>14</v>
      </c>
      <c r="E23" s="8">
        <f>'[1]1'!K5</f>
        <v>-1.4920000000000006E-2</v>
      </c>
      <c r="F23" s="8">
        <f>'[1]1'!K6</f>
        <v>-1.9220000000000008E-2</v>
      </c>
      <c r="G23" s="8">
        <f>'[1]1'!K7</f>
        <v>-1.4880000000000006E-2</v>
      </c>
      <c r="H23" s="1"/>
    </row>
    <row r="24" spans="2:8" x14ac:dyDescent="0.2">
      <c r="D24" s="4" t="s">
        <v>20</v>
      </c>
      <c r="E24" s="10">
        <f>'[1]1'!G5</f>
        <v>1.6290000000000006E-2</v>
      </c>
      <c r="F24" s="10">
        <f>'[1]1'!G6</f>
        <v>1.1000000000000005E-2</v>
      </c>
      <c r="G24" s="10">
        <f>'[1]1'!G7</f>
        <v>8.6920000000000042E-4</v>
      </c>
      <c r="H24" s="1"/>
    </row>
    <row r="25" spans="2:8" x14ac:dyDescent="0.2">
      <c r="D25" s="4" t="s">
        <v>21</v>
      </c>
      <c r="E25" s="10">
        <f>'[1]1'!I5</f>
        <v>-1.9200000000000009E-2</v>
      </c>
      <c r="F25" s="10">
        <f>'[1]1'!I6</f>
        <v>-6.7050000000000026E-3</v>
      </c>
      <c r="G25" s="10">
        <f>'[1]1'!I7</f>
        <v>-1.3620000000000005E-2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A-1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Rothstein</dc:creator>
  <cp:lastModifiedBy>Jesse Rothstein</cp:lastModifiedBy>
  <dcterms:created xsi:type="dcterms:W3CDTF">2023-12-13T21:26:19Z</dcterms:created>
  <dcterms:modified xsi:type="dcterms:W3CDTF">2024-04-16T21:30:41Z</dcterms:modified>
</cp:coreProperties>
</file>