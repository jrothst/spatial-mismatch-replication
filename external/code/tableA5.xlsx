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esse-local/Dropbox/projects/Maria boatlift/puerto rico/BW/AER-PP-2024/replication/external/code/"/>
    </mc:Choice>
  </mc:AlternateContent>
  <xr:revisionPtr revIDLastSave="0" documentId="8_{453C4986-AF3C-5744-A19D-13562417D20E}" xr6:coauthVersionLast="47" xr6:coauthVersionMax="47" xr10:uidLastSave="{00000000-0000-0000-0000-000000000000}"/>
  <bookViews>
    <workbookView xWindow="4880" yWindow="1600" windowWidth="24020" windowHeight="18040" xr2:uid="{5F50D70B-DD8C-C944-8990-033400CD4DAD}"/>
  </bookViews>
  <sheets>
    <sheet name="Appt4" sheetId="2" r:id="rId1"/>
  </sheets>
  <externalReferences>
    <externalReference r:id="rId2"/>
  </externalReferences>
  <definedNames>
    <definedName name="_xlnm.Print_Area" localSheetId="0">Appt4!$B$2:$F$25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0" i="2" l="1"/>
  <c r="F19" i="2"/>
  <c r="E20" i="2"/>
  <c r="E19" i="2"/>
  <c r="D20" i="2"/>
  <c r="D19" i="2"/>
  <c r="F18" i="2"/>
  <c r="F17" i="2"/>
  <c r="E18" i="2"/>
  <c r="E17" i="2"/>
  <c r="D18" i="2"/>
  <c r="D17" i="2"/>
  <c r="F16" i="2"/>
  <c r="F15" i="2"/>
  <c r="E16" i="2"/>
  <c r="E15" i="2"/>
  <c r="D16" i="2"/>
  <c r="D15" i="2"/>
  <c r="F13" i="2"/>
  <c r="F12" i="2"/>
  <c r="F11" i="2"/>
  <c r="F10" i="2"/>
  <c r="E13" i="2"/>
  <c r="E12" i="2"/>
  <c r="E11" i="2"/>
  <c r="E10" i="2"/>
  <c r="D13" i="2"/>
  <c r="D12" i="2"/>
  <c r="D11" i="2"/>
  <c r="D10" i="2"/>
  <c r="F9" i="2"/>
  <c r="F8" i="2"/>
  <c r="E9" i="2"/>
  <c r="E8" i="2"/>
  <c r="D9" i="2"/>
  <c r="D8" i="2"/>
</calcChain>
</file>

<file path=xl/sharedStrings.xml><?xml version="1.0" encoding="utf-8"?>
<sst xmlns="http://schemas.openxmlformats.org/spreadsheetml/2006/main" count="23" uniqueCount="20">
  <si>
    <t>Older</t>
  </si>
  <si>
    <t>Newer</t>
  </si>
  <si>
    <t>Remainder</t>
  </si>
  <si>
    <t>Industrial</t>
  </si>
  <si>
    <t>Sunbelt</t>
  </si>
  <si>
    <t>White non-Hispanic</t>
  </si>
  <si>
    <t>Black non-Hispanic</t>
  </si>
  <si>
    <t>from d2tab5</t>
  </si>
  <si>
    <t xml:space="preserve">      Person Effects</t>
  </si>
  <si>
    <t xml:space="preserve">      Firm Premium</t>
  </si>
  <si>
    <t xml:space="preserve">      Log Quarterly Earnings</t>
  </si>
  <si>
    <t>(Top 200)</t>
  </si>
  <si>
    <t>Source: 2010-2018 LEHD. Sample includes only people age 22-62 with</t>
  </si>
  <si>
    <t>quarterly earnings above $3,800. Person effects and firm premium represents</t>
  </si>
  <si>
    <t>estimated person and establishment earning effect obtained from AKM model</t>
  </si>
  <si>
    <t>(equation 1) with controls for age and calendard quarter.</t>
  </si>
  <si>
    <t>Coefficient estimates in table are obtained from specifications that</t>
  </si>
  <si>
    <t xml:space="preserve">that regress log of quarterly earnings and AKM components on log of </t>
  </si>
  <si>
    <t>commute distance with CZ controls.</t>
  </si>
  <si>
    <t>Table A4: Elasticity of Earnings w.r.t. Commute Distance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</si>
</sst>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\(0.000\);\(0.000\)"/>
  </numFmts>
  <fonts count="4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u/>
      <sz val="13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</borders>
  <cellStyleXfs count="2">
    <xf numFmtId="0" fontId="0" fillId="0" borderId="0"/>
    <xf numFmtId="0" fontId="1" fillId="0" borderId="0"/>
  </cellStyleXfs>
  <cellXfs count="13">
    <xf numFmtId="0" fontId="0" fillId="0" borderId="0" xfId="0"/>
    <xf numFmtId="0" fontId="1" fillId="0" borderId="0" xfId="1"/>
    <xf numFmtId="0" fontId="1" fillId="0" borderId="0" xfId="1" applyAlignment="1">
      <alignment horizontal="center"/>
    </xf>
    <xf numFmtId="0" fontId="2" fillId="0" borderId="0" xfId="1" applyFont="1"/>
    <xf numFmtId="0" fontId="2" fillId="0" borderId="0" xfId="1" applyFont="1" applyAlignment="1">
      <alignment horizontal="center"/>
    </xf>
    <xf numFmtId="0" fontId="2" fillId="0" borderId="1" xfId="1" applyFont="1" applyBorder="1"/>
    <xf numFmtId="0" fontId="2" fillId="0" borderId="1" xfId="1" applyFont="1" applyBorder="1" applyAlignment="1">
      <alignment horizontal="center"/>
    </xf>
    <xf numFmtId="0" fontId="2" fillId="0" borderId="2" xfId="1" applyFont="1" applyBorder="1"/>
    <xf numFmtId="0" fontId="2" fillId="0" borderId="2" xfId="1" applyFont="1" applyBorder="1" applyAlignment="1">
      <alignment horizontal="center"/>
    </xf>
    <xf numFmtId="0" fontId="3" fillId="0" borderId="0" xfId="1" applyFont="1"/>
    <xf numFmtId="164" fontId="2" fillId="0" borderId="0" xfId="1" applyNumberFormat="1" applyFont="1" applyAlignment="1">
      <alignment horizontal="center"/>
    </xf>
    <xf numFmtId="165" fontId="2" fillId="0" borderId="0" xfId="1" applyNumberFormat="1" applyFont="1" applyAlignment="1">
      <alignment horizontal="center"/>
    </xf>
    <xf numFmtId="165" fontId="2" fillId="0" borderId="2" xfId="1" applyNumberFormat="1" applyFont="1" applyBorder="1" applyAlignment="1">
      <alignment horizontal="center"/>
    </xf>
  </cellXfs>
  <cellStyles count="2">
    <cellStyle name="Normal" xfId="0" builtinId="0"/>
    <cellStyle name="Normal 2" xfId="1" xr:uid="{E64DD856-66ED-004D-831E-4535677F275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moisesyi/Library/CloudStorage/Dropbox/projects/puerto%20rico/BW/disclosed%20results/disclosure2/Yi_tabs_T13T26_2.xlsx" TargetMode="External"/><Relationship Id="rId1" Type="http://schemas.openxmlformats.org/officeDocument/2006/relationships/externalLinkPath" Target="/Users/moisesyi/Library/CloudStorage/Dropbox/projects/puerto%20rico/BW/disclosed%20results/disclosure2/Yi_tabs_T13T26_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1"/>
      <sheetName val="2"/>
      <sheetName val="3"/>
      <sheetName val="4"/>
      <sheetName val="5"/>
      <sheetName val="6"/>
    </sheetNames>
    <sheetDataSet>
      <sheetData sheetId="0">
        <row r="4">
          <cell r="G4">
            <v>12.220000000000002</v>
          </cell>
        </row>
      </sheetData>
      <sheetData sheetId="1"/>
      <sheetData sheetId="2"/>
      <sheetData sheetId="3"/>
      <sheetData sheetId="4">
        <row r="11">
          <cell r="B11">
            <v>5.8590000000000024E-2</v>
          </cell>
          <cell r="C11">
            <v>2.6690000000000012E-2</v>
          </cell>
          <cell r="D11">
            <v>2.9860000000000012E-2</v>
          </cell>
          <cell r="E11">
            <v>5.6260000000000025E-2</v>
          </cell>
          <cell r="F11">
            <v>3.5440000000000013E-2</v>
          </cell>
          <cell r="G11">
            <v>1.6080000000000007E-2</v>
          </cell>
        </row>
        <row r="12">
          <cell r="B12">
            <v>3.2400000000000001E-5</v>
          </cell>
          <cell r="C12">
            <v>2.6599999999999999E-5</v>
          </cell>
          <cell r="D12">
            <v>1.03E-5</v>
          </cell>
          <cell r="E12">
            <v>7.4800000000000002E-5</v>
          </cell>
          <cell r="F12">
            <v>5.9799999999999997E-5</v>
          </cell>
          <cell r="G12">
            <v>2.5000000000000001E-5</v>
          </cell>
        </row>
        <row r="16">
          <cell r="B16">
            <v>2.4410000000000012E-2</v>
          </cell>
          <cell r="C16">
            <v>1.0570000000000004E-3</v>
          </cell>
          <cell r="D16">
            <v>2.4400000000000012E-2</v>
          </cell>
          <cell r="E16">
            <v>4.8450000000000021E-2</v>
          </cell>
          <cell r="F16">
            <v>2.590000000000001E-2</v>
          </cell>
          <cell r="G16">
            <v>1.9310000000000008E-2</v>
          </cell>
        </row>
        <row r="17">
          <cell r="B17">
            <v>4.1399999999999997E-5</v>
          </cell>
          <cell r="C17">
            <v>3.4400000000000003E-5</v>
          </cell>
          <cell r="D17">
            <v>1.33E-5</v>
          </cell>
          <cell r="E17">
            <v>8.2000000000000001E-5</v>
          </cell>
          <cell r="F17">
            <v>6.7299999999999996E-5</v>
          </cell>
          <cell r="G17">
            <v>2.69E-5</v>
          </cell>
        </row>
        <row r="21">
          <cell r="B21">
            <v>3.0630000000000011E-2</v>
          </cell>
          <cell r="C21">
            <v>7.2010000000000025E-3</v>
          </cell>
          <cell r="D21">
            <v>2.2620000000000008E-2</v>
          </cell>
          <cell r="E21">
            <v>5.5510000000000025E-2</v>
          </cell>
          <cell r="F21">
            <v>3.1790000000000013E-2</v>
          </cell>
          <cell r="G21">
            <v>1.9640000000000008E-2</v>
          </cell>
        </row>
        <row r="22">
          <cell r="B22">
            <v>1.63E-5</v>
          </cell>
          <cell r="C22">
            <v>1.3499999999999999E-5</v>
          </cell>
          <cell r="D22">
            <v>6.9999999999999999E-6</v>
          </cell>
          <cell r="E22">
            <v>4.2799999999999997E-5</v>
          </cell>
          <cell r="F22">
            <v>3.4499999999999998E-5</v>
          </cell>
          <cell r="G22">
            <v>1.6799999999999998E-5</v>
          </cell>
        </row>
      </sheetData>
      <sheetData sheetId="5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2D1B07-9B87-4D43-B9FE-4D289BD6FA00}">
  <sheetPr>
    <pageSetUpPr fitToPage="1"/>
  </sheetPr>
  <dimension ref="B1:M30"/>
  <sheetViews>
    <sheetView tabSelected="1" zoomScale="94" workbookViewId="0">
      <selection activeCell="I17" sqref="I17"/>
    </sheetView>
  </sheetViews>
  <sheetFormatPr baseColWidth="10" defaultColWidth="8.83203125" defaultRowHeight="15" x14ac:dyDescent="0.2"/>
  <cols>
    <col min="1" max="2" width="8.83203125" style="1"/>
    <col min="3" max="3" width="20.1640625" style="1" customWidth="1"/>
    <col min="4" max="6" width="15" style="2" customWidth="1"/>
    <col min="7" max="16384" width="8.83203125" style="1"/>
  </cols>
  <sheetData>
    <row r="1" spans="2:13" x14ac:dyDescent="0.2">
      <c r="B1" s="1" t="s">
        <v>7</v>
      </c>
    </row>
    <row r="2" spans="2:13" ht="30" customHeight="1" x14ac:dyDescent="0.2">
      <c r="B2" s="3" t="s">
        <v>19</v>
      </c>
      <c r="C2" s="3"/>
      <c r="D2" s="4"/>
      <c r="E2" s="4"/>
    </row>
    <row r="3" spans="2:13" ht="7.5" customHeight="1" x14ac:dyDescent="0.2"/>
    <row r="4" spans="2:13" ht="17" x14ac:dyDescent="0.2">
      <c r="B4" s="5"/>
      <c r="C4" s="5"/>
      <c r="D4" s="6" t="s">
        <v>0</v>
      </c>
      <c r="E4" s="6" t="s">
        <v>1</v>
      </c>
      <c r="F4" s="6" t="s">
        <v>2</v>
      </c>
      <c r="G4" s="3"/>
      <c r="H4" s="3"/>
      <c r="I4" s="3"/>
      <c r="J4" s="3"/>
      <c r="K4" s="3"/>
      <c r="L4" s="3"/>
      <c r="M4" s="3"/>
    </row>
    <row r="5" spans="2:13" ht="17" x14ac:dyDescent="0.2">
      <c r="B5" s="7"/>
      <c r="C5" s="7"/>
      <c r="D5" s="8" t="s">
        <v>3</v>
      </c>
      <c r="E5" s="8" t="s">
        <v>4</v>
      </c>
      <c r="F5" s="8" t="s">
        <v>11</v>
      </c>
      <c r="G5" s="3"/>
      <c r="H5" s="3"/>
      <c r="I5" s="3"/>
      <c r="J5" s="3"/>
      <c r="K5" s="3"/>
      <c r="L5" s="3"/>
      <c r="M5" s="3"/>
    </row>
    <row r="6" spans="2:13" ht="5.5" customHeight="1" x14ac:dyDescent="0.2">
      <c r="B6" s="3"/>
      <c r="C6" s="3"/>
      <c r="D6" s="4"/>
      <c r="E6" s="4"/>
      <c r="F6" s="4"/>
      <c r="G6" s="3"/>
      <c r="H6" s="3"/>
      <c r="I6" s="3"/>
      <c r="J6" s="3"/>
      <c r="K6" s="3"/>
      <c r="L6" s="3"/>
      <c r="M6" s="3"/>
    </row>
    <row r="7" spans="2:13" ht="25.5" customHeight="1" x14ac:dyDescent="0.2">
      <c r="B7" s="9" t="s">
        <v>5</v>
      </c>
      <c r="C7" s="3"/>
      <c r="F7" s="4"/>
      <c r="G7" s="3"/>
      <c r="H7" s="3"/>
      <c r="I7" s="3"/>
      <c r="J7" s="3"/>
      <c r="K7" s="3"/>
      <c r="L7" s="3"/>
      <c r="M7" s="3"/>
    </row>
    <row r="8" spans="2:13" ht="17" x14ac:dyDescent="0.2">
      <c r="B8" s="3" t="s">
        <v>10</v>
      </c>
      <c r="C8" s="3"/>
      <c r="D8" s="10">
        <f>'[1]5'!$B$11</f>
        <v>5.8590000000000024E-2</v>
      </c>
      <c r="E8" s="10">
        <f>'[1]5'!$B$16</f>
        <v>2.4410000000000012E-2</v>
      </c>
      <c r="F8" s="10">
        <f>'[1]5'!$B$21</f>
        <v>3.0630000000000011E-2</v>
      </c>
      <c r="G8" s="3"/>
      <c r="H8" s="3"/>
      <c r="I8" s="3"/>
      <c r="J8" s="3"/>
      <c r="K8" s="3"/>
      <c r="L8" s="3"/>
      <c r="M8" s="3"/>
    </row>
    <row r="9" spans="2:13" ht="17" x14ac:dyDescent="0.2">
      <c r="B9" s="3"/>
      <c r="C9" s="3"/>
      <c r="D9" s="11">
        <f>'[1]5'!$B$12</f>
        <v>3.2400000000000001E-5</v>
      </c>
      <c r="E9" s="11">
        <f>'[1]5'!$B$17</f>
        <v>4.1399999999999997E-5</v>
      </c>
      <c r="F9" s="11">
        <f>'[1]5'!$B$22</f>
        <v>1.63E-5</v>
      </c>
      <c r="G9" s="3"/>
      <c r="H9" s="3"/>
      <c r="I9" s="3"/>
      <c r="J9" s="3"/>
      <c r="K9" s="3"/>
      <c r="L9" s="3"/>
      <c r="M9" s="3"/>
    </row>
    <row r="10" spans="2:13" ht="25.5" customHeight="1" x14ac:dyDescent="0.2">
      <c r="B10" s="3" t="s">
        <v>8</v>
      </c>
      <c r="C10" s="3"/>
      <c r="D10" s="10">
        <f>'[1]5'!$C$11</f>
        <v>2.6690000000000012E-2</v>
      </c>
      <c r="E10" s="10">
        <f>'[1]5'!$C$16</f>
        <v>1.0570000000000004E-3</v>
      </c>
      <c r="F10" s="10">
        <f>'[1]5'!$C$21</f>
        <v>7.2010000000000025E-3</v>
      </c>
      <c r="G10" s="3"/>
      <c r="H10" s="3"/>
      <c r="I10" s="3"/>
      <c r="J10" s="3"/>
      <c r="K10" s="3"/>
      <c r="L10" s="3"/>
      <c r="M10" s="3"/>
    </row>
    <row r="11" spans="2:13" ht="17" x14ac:dyDescent="0.2">
      <c r="B11" s="3"/>
      <c r="C11" s="3"/>
      <c r="D11" s="11">
        <f>'[1]5'!$C$12</f>
        <v>2.6599999999999999E-5</v>
      </c>
      <c r="E11" s="11">
        <f>'[1]5'!$C$17</f>
        <v>3.4400000000000003E-5</v>
      </c>
      <c r="F11" s="11">
        <f>'[1]5'!$C$22</f>
        <v>1.3499999999999999E-5</v>
      </c>
      <c r="G11" s="3"/>
      <c r="H11" s="3"/>
      <c r="I11" s="3"/>
      <c r="J11" s="3"/>
      <c r="K11" s="3"/>
      <c r="L11" s="3"/>
      <c r="M11" s="3"/>
    </row>
    <row r="12" spans="2:13" ht="25.5" customHeight="1" x14ac:dyDescent="0.2">
      <c r="B12" s="3" t="s">
        <v>9</v>
      </c>
      <c r="C12" s="3"/>
      <c r="D12" s="10">
        <f>'[1]5'!$D$11</f>
        <v>2.9860000000000012E-2</v>
      </c>
      <c r="E12" s="10">
        <f>'[1]5'!$D$16</f>
        <v>2.4400000000000012E-2</v>
      </c>
      <c r="F12" s="10">
        <f>'[1]5'!$D$21</f>
        <v>2.2620000000000008E-2</v>
      </c>
      <c r="G12" s="3"/>
      <c r="H12" s="3"/>
      <c r="I12" s="3"/>
      <c r="J12" s="3"/>
      <c r="K12" s="3"/>
      <c r="L12" s="3"/>
      <c r="M12" s="3"/>
    </row>
    <row r="13" spans="2:13" ht="17" x14ac:dyDescent="0.2">
      <c r="B13" s="3"/>
      <c r="C13" s="3"/>
      <c r="D13" s="11">
        <f>'[1]5'!$D$12</f>
        <v>1.03E-5</v>
      </c>
      <c r="E13" s="11">
        <f>'[1]5'!$D$17</f>
        <v>1.33E-5</v>
      </c>
      <c r="F13" s="11">
        <f>'[1]5'!$D$22</f>
        <v>6.9999999999999999E-6</v>
      </c>
      <c r="G13" s="3"/>
      <c r="H13" s="3"/>
      <c r="I13" s="3"/>
      <c r="J13" s="3"/>
      <c r="K13" s="3"/>
      <c r="L13" s="3"/>
      <c r="M13" s="3"/>
    </row>
    <row r="14" spans="2:13" ht="30.75" customHeight="1" x14ac:dyDescent="0.2">
      <c r="B14" s="9" t="s">
        <v>6</v>
      </c>
      <c r="C14" s="3"/>
      <c r="G14" s="3"/>
      <c r="H14" s="3"/>
      <c r="I14" s="3"/>
      <c r="J14" s="3"/>
      <c r="K14" s="3"/>
      <c r="L14" s="3"/>
      <c r="M14" s="3"/>
    </row>
    <row r="15" spans="2:13" ht="17" x14ac:dyDescent="0.2">
      <c r="B15" s="3" t="s">
        <v>10</v>
      </c>
      <c r="C15" s="3"/>
      <c r="D15" s="10">
        <f>'[1]5'!$E$11</f>
        <v>5.6260000000000025E-2</v>
      </c>
      <c r="E15" s="10">
        <f>'[1]5'!$E$16</f>
        <v>4.8450000000000021E-2</v>
      </c>
      <c r="F15" s="10">
        <f>'[1]5'!$E$21</f>
        <v>5.5510000000000025E-2</v>
      </c>
      <c r="G15" s="3"/>
      <c r="H15" s="3"/>
      <c r="I15" s="3"/>
      <c r="J15" s="3"/>
      <c r="K15" s="3"/>
      <c r="L15" s="3"/>
      <c r="M15" s="3"/>
    </row>
    <row r="16" spans="2:13" ht="17" x14ac:dyDescent="0.2">
      <c r="B16" s="3"/>
      <c r="C16" s="3"/>
      <c r="D16" s="11">
        <f>'[1]5'!$E$12</f>
        <v>7.4800000000000002E-5</v>
      </c>
      <c r="E16" s="11">
        <f>'[1]5'!$E$17</f>
        <v>8.2000000000000001E-5</v>
      </c>
      <c r="F16" s="11">
        <f>'[1]5'!$E$22</f>
        <v>4.2799999999999997E-5</v>
      </c>
      <c r="G16" s="3"/>
      <c r="H16" s="3"/>
      <c r="I16" s="3"/>
      <c r="J16" s="3"/>
      <c r="K16" s="3"/>
      <c r="L16" s="3"/>
      <c r="M16" s="3"/>
    </row>
    <row r="17" spans="2:13" ht="25.5" customHeight="1" x14ac:dyDescent="0.2">
      <c r="B17" s="3" t="s">
        <v>8</v>
      </c>
      <c r="C17" s="3"/>
      <c r="D17" s="10">
        <f>'[1]5'!$F$11</f>
        <v>3.5440000000000013E-2</v>
      </c>
      <c r="E17" s="10">
        <f>'[1]5'!$F$16</f>
        <v>2.590000000000001E-2</v>
      </c>
      <c r="F17" s="10">
        <f>'[1]5'!$F$21</f>
        <v>3.1790000000000013E-2</v>
      </c>
      <c r="G17" s="3"/>
      <c r="H17" s="3"/>
      <c r="I17" s="3"/>
      <c r="J17" s="3"/>
      <c r="K17" s="3"/>
      <c r="L17" s="3"/>
      <c r="M17" s="3"/>
    </row>
    <row r="18" spans="2:13" ht="17" x14ac:dyDescent="0.2">
      <c r="B18" s="3"/>
      <c r="C18" s="3"/>
      <c r="D18" s="11">
        <f>'[1]5'!$F$12</f>
        <v>5.9799999999999997E-5</v>
      </c>
      <c r="E18" s="11">
        <f>'[1]5'!$F$17</f>
        <v>6.7299999999999996E-5</v>
      </c>
      <c r="F18" s="11">
        <f>'[1]5'!$F$22</f>
        <v>3.4499999999999998E-5</v>
      </c>
      <c r="G18" s="3"/>
      <c r="H18" s="3"/>
      <c r="I18" s="3"/>
      <c r="J18" s="3"/>
      <c r="K18" s="3"/>
      <c r="L18" s="3"/>
      <c r="M18" s="3"/>
    </row>
    <row r="19" spans="2:13" ht="25.5" customHeight="1" x14ac:dyDescent="0.2">
      <c r="B19" s="3" t="s">
        <v>9</v>
      </c>
      <c r="C19" s="3"/>
      <c r="D19" s="10">
        <f>'[1]5'!$G$11</f>
        <v>1.6080000000000007E-2</v>
      </c>
      <c r="E19" s="10">
        <f>'[1]5'!$G$16</f>
        <v>1.9310000000000008E-2</v>
      </c>
      <c r="F19" s="10">
        <f>'[1]5'!$G$21</f>
        <v>1.9640000000000008E-2</v>
      </c>
      <c r="G19" s="3"/>
      <c r="H19" s="3"/>
      <c r="I19" s="3"/>
      <c r="J19" s="3"/>
      <c r="K19" s="3"/>
      <c r="L19" s="3"/>
      <c r="M19" s="3"/>
    </row>
    <row r="20" spans="2:13" ht="17" x14ac:dyDescent="0.2">
      <c r="B20" s="7"/>
      <c r="C20" s="7"/>
      <c r="D20" s="12">
        <f>'[1]5'!$G$12</f>
        <v>2.5000000000000001E-5</v>
      </c>
      <c r="E20" s="12">
        <f>'[1]5'!$G$17</f>
        <v>2.69E-5</v>
      </c>
      <c r="F20" s="12">
        <f>'[1]5'!$G$22</f>
        <v>1.6799999999999998E-5</v>
      </c>
      <c r="G20" s="3"/>
      <c r="H20" s="3"/>
      <c r="I20" s="3"/>
      <c r="J20" s="3"/>
      <c r="K20" s="3"/>
      <c r="L20" s="3"/>
      <c r="M20" s="3"/>
    </row>
    <row r="21" spans="2:13" ht="21" customHeight="1" x14ac:dyDescent="0.2">
      <c r="B21" s="3" t="s">
        <v>12</v>
      </c>
      <c r="C21" s="3"/>
      <c r="D21" s="4"/>
      <c r="E21" s="4"/>
      <c r="F21" s="4"/>
      <c r="G21" s="3"/>
      <c r="H21" s="3"/>
      <c r="I21" s="3"/>
      <c r="J21" s="3"/>
      <c r="K21" s="3"/>
      <c r="L21" s="3"/>
      <c r="M21" s="3"/>
    </row>
    <row r="22" spans="2:13" ht="17" x14ac:dyDescent="0.2">
      <c r="B22" s="3" t="s">
        <v>13</v>
      </c>
      <c r="C22" s="3"/>
      <c r="D22" s="4"/>
      <c r="E22" s="4"/>
      <c r="F22" s="4"/>
      <c r="G22" s="3"/>
      <c r="H22" s="3"/>
      <c r="I22" s="3"/>
      <c r="J22" s="3"/>
      <c r="K22" s="3"/>
      <c r="L22" s="3"/>
      <c r="M22" s="3"/>
    </row>
    <row r="23" spans="2:13" ht="17" x14ac:dyDescent="0.2">
      <c r="B23" s="3" t="s">
        <v>14</v>
      </c>
      <c r="C23" s="3"/>
      <c r="D23" s="4"/>
      <c r="E23" s="4"/>
      <c r="F23" s="4"/>
      <c r="G23" s="3"/>
      <c r="H23" s="3"/>
      <c r="I23" s="3"/>
      <c r="J23" s="3"/>
      <c r="K23" s="3"/>
      <c r="L23" s="3"/>
      <c r="M23" s="3"/>
    </row>
    <row r="24" spans="2:13" ht="17" x14ac:dyDescent="0.2">
      <c r="B24" s="3" t="s">
        <v>15</v>
      </c>
      <c r="C24" s="3"/>
      <c r="D24" s="4"/>
      <c r="E24" s="4"/>
      <c r="F24" s="4"/>
      <c r="G24" s="3"/>
      <c r="H24" s="3"/>
      <c r="I24" s="3"/>
      <c r="J24" s="3"/>
      <c r="K24" s="3"/>
      <c r="L24" s="3"/>
      <c r="M24" s="3"/>
    </row>
    <row r="25" spans="2:13" ht="17" x14ac:dyDescent="0.2">
      <c r="B25" s="3" t="s">
        <v>16</v>
      </c>
      <c r="C25" s="3"/>
      <c r="D25" s="4"/>
      <c r="E25" s="4"/>
      <c r="F25" s="4"/>
      <c r="G25" s="3"/>
      <c r="H25" s="3"/>
      <c r="I25" s="3"/>
      <c r="J25" s="3"/>
      <c r="K25" s="3"/>
      <c r="L25" s="3"/>
      <c r="M25" s="3"/>
    </row>
    <row r="26" spans="2:13" ht="17" x14ac:dyDescent="0.2">
      <c r="B26" s="3" t="s">
        <v>17</v>
      </c>
      <c r="C26" s="3"/>
      <c r="D26" s="4"/>
      <c r="E26" s="4"/>
      <c r="F26" s="4"/>
      <c r="G26" s="3"/>
      <c r="H26" s="3"/>
      <c r="I26" s="3"/>
      <c r="J26" s="3"/>
      <c r="K26" s="3"/>
      <c r="L26" s="3"/>
      <c r="M26" s="3"/>
    </row>
    <row r="27" spans="2:13" ht="17" x14ac:dyDescent="0.2">
      <c r="B27" s="3" t="s">
        <v>18</v>
      </c>
      <c r="C27" s="3"/>
      <c r="D27" s="4"/>
      <c r="E27" s="4"/>
      <c r="F27" s="4"/>
      <c r="G27" s="3"/>
      <c r="H27" s="3"/>
      <c r="I27" s="3"/>
      <c r="J27" s="3"/>
      <c r="K27" s="3"/>
      <c r="L27" s="3"/>
      <c r="M27" s="3"/>
    </row>
    <row r="28" spans="2:13" ht="17" x14ac:dyDescent="0.2">
      <c r="B28" s="3"/>
      <c r="C28" s="3"/>
      <c r="D28" s="4"/>
      <c r="E28" s="4"/>
      <c r="F28" s="4"/>
      <c r="G28" s="3"/>
      <c r="H28" s="3"/>
      <c r="I28" s="3"/>
      <c r="J28" s="3"/>
      <c r="K28" s="3"/>
      <c r="L28" s="3"/>
      <c r="M28" s="3"/>
    </row>
    <row r="29" spans="2:13" ht="17" x14ac:dyDescent="0.2">
      <c r="B29" s="3"/>
      <c r="C29" s="3"/>
      <c r="D29" s="4"/>
      <c r="E29" s="4"/>
      <c r="F29" s="4"/>
      <c r="G29" s="3"/>
      <c r="H29" s="3"/>
      <c r="I29" s="3"/>
      <c r="J29" s="3"/>
      <c r="K29" s="3"/>
      <c r="L29" s="3"/>
      <c r="M29" s="3"/>
    </row>
    <row r="30" spans="2:13" ht="17" x14ac:dyDescent="0.2">
      <c r="B30" s="3"/>
      <c r="C30" s="3"/>
      <c r="D30" s="4"/>
      <c r="E30" s="4"/>
      <c r="F30" s="4"/>
      <c r="G30" s="3"/>
      <c r="H30" s="3"/>
      <c r="I30" s="3"/>
      <c r="J30" s="3"/>
      <c r="K30" s="3"/>
      <c r="L30" s="3"/>
      <c r="M30" s="3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Appt4</vt:lpstr>
      <vt:lpstr>Appt4!Print_Area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Jesse Rothstein</dc:creator>
  <cp:lastModifiedBy>Jesse Rothstein</cp:lastModifiedBy>
  <cp:lastPrinted>2023-12-22T21:35:55Z</cp:lastPrinted>
  <dcterms:created xsi:type="dcterms:W3CDTF">2023-12-04T18:34:41Z</dcterms:created>
  <dcterms:modified xsi:type="dcterms:W3CDTF">2024-04-16T15:44:04Z</dcterms:modified>
</cp:coreProperties>
</file>